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лы" sheetId="1" state="visible" r:id="rId1"/>
    <sheet name="Анализ доходности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$#,##0.00"/>
    <numFmt numFmtId="166" formatCode="0.00&quot;%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sz val="12"/>
    </font>
    <font>
      <b val="1"/>
      <color rgb="002E75B6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Накопленные комиссии за период</a:t>
            </a:r>
          </a:p>
        </rich>
      </tx>
    </title>
    <plotArea>
      <lineChart>
        <grouping val="standard"/>
        <ser>
          <idx val="0"/>
          <order val="0"/>
          <tx>
            <strRef>
              <f>'Анализ доходности'!B1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'Анализ доходности'!$A$2:$A$32</f>
            </numRef>
          </cat>
          <val>
            <numRef>
              <f>'Анализ доходности'!$B$2:$B$32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Комиссии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Распределение позиций по парам</a:t>
            </a:r>
          </a:p>
        </rich>
      </tx>
    </title>
    <plotArea>
      <pieChart>
        <varyColors val="1"/>
        <ser>
          <idx val="0"/>
          <order val="0"/>
          <tx>
            <strRef>
              <f>'Пулы'!I1</f>
            </strRef>
          </tx>
          <spPr>
            <a:ln>
              <a:prstDash val="solid"/>
            </a:ln>
          </spPr>
          <cat>
            <numRef>
              <f>'Пулы'!$B$2:$B$6</f>
            </numRef>
          </cat>
          <val>
            <numRef>
              <f>'Пулы'!$I$2:$I$6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33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2" customWidth="1" min="11" max="11"/>
    <col width="12" customWidth="1" min="12" max="12"/>
    <col width="22" customWidth="1" min="13" max="13"/>
    <col width="12" customWidth="1" min="14" max="14"/>
  </cols>
  <sheetData>
    <row r="1">
      <c r="A1" s="1" t="inlineStr">
        <is>
          <t>ID Позиции</t>
        </is>
      </c>
      <c r="B1" s="1" t="inlineStr">
        <is>
          <t>Пара</t>
        </is>
      </c>
      <c r="C1" s="1" t="inlineStr">
        <is>
          <t>Token 0</t>
        </is>
      </c>
      <c r="D1" s="1" t="inlineStr">
        <is>
          <t>Token 1</t>
        </is>
      </c>
      <c r="E1" s="1" t="inlineStr">
        <is>
          <t>Количество Token 0</t>
        </is>
      </c>
      <c r="F1" s="1" t="inlineStr">
        <is>
          <t>Количество Token 1</t>
        </is>
      </c>
      <c r="G1" s="1" t="inlineStr">
        <is>
          <t>Цена Token 0 (USD)</t>
        </is>
      </c>
      <c r="H1" s="1" t="inlineStr">
        <is>
          <t>Цена Token 1 (USD)</t>
        </is>
      </c>
      <c r="I1" s="1" t="inlineStr">
        <is>
          <t>Общая стоимость (USD)</t>
        </is>
      </c>
      <c r="J1" s="1" t="inlineStr">
        <is>
          <t>Дата открытия</t>
        </is>
      </c>
      <c r="K1" s="1" t="inlineStr">
        <is>
          <t>Статус</t>
        </is>
      </c>
      <c r="L1" s="1" t="inlineStr">
        <is>
          <t>Fee Tier (%)</t>
        </is>
      </c>
      <c r="M1" s="1" t="inlineStr">
        <is>
          <t>Заработано комиссий (USD)</t>
        </is>
      </c>
      <c r="N1" s="1" t="inlineStr">
        <is>
          <t>ROI (%)</t>
        </is>
      </c>
    </row>
    <row r="2">
      <c r="A2" s="2" t="n">
        <v>1</v>
      </c>
      <c r="B2" s="3" t="inlineStr">
        <is>
          <t>ETH/USDC</t>
        </is>
      </c>
      <c r="C2" s="3" t="inlineStr">
        <is>
          <t>ETH</t>
        </is>
      </c>
      <c r="D2" s="3" t="inlineStr">
        <is>
          <t>USDC</t>
        </is>
      </c>
      <c r="E2" s="4" t="n">
        <v>2.5</v>
      </c>
      <c r="F2" s="4" t="n">
        <v>5000</v>
      </c>
      <c r="G2" s="5" t="n">
        <v>2000</v>
      </c>
      <c r="H2" s="5" t="n">
        <v>1</v>
      </c>
      <c r="I2" s="6">
        <f>E2*G2+F2*H2</f>
        <v/>
      </c>
      <c r="J2" s="7" t="inlineStr">
        <is>
          <t>2025-12-21</t>
        </is>
      </c>
      <c r="K2" s="2" t="inlineStr">
        <is>
          <t>Активна</t>
        </is>
      </c>
      <c r="L2" s="8" t="n">
        <v>0.3</v>
      </c>
      <c r="M2" s="6" t="n">
        <v>150</v>
      </c>
      <c r="N2" s="8">
        <f>(M2/I2)*100</f>
        <v/>
      </c>
    </row>
    <row r="3">
      <c r="A3" s="2" t="n">
        <v>2</v>
      </c>
      <c r="B3" s="3" t="inlineStr">
        <is>
          <t>WBTC/ETH</t>
        </is>
      </c>
      <c r="C3" s="3" t="inlineStr">
        <is>
          <t>WBTC</t>
        </is>
      </c>
      <c r="D3" s="3" t="inlineStr">
        <is>
          <t>ETH</t>
        </is>
      </c>
      <c r="E3" s="4" t="n">
        <v>0.1</v>
      </c>
      <c r="F3" s="4" t="n">
        <v>2</v>
      </c>
      <c r="G3" s="5" t="n">
        <v>40000</v>
      </c>
      <c r="H3" s="5" t="n">
        <v>2000</v>
      </c>
      <c r="I3" s="6">
        <f>E3*G3+F3*H3</f>
        <v/>
      </c>
      <c r="J3" s="7" t="inlineStr">
        <is>
          <t>2025-11-21</t>
        </is>
      </c>
      <c r="K3" s="2" t="inlineStr">
        <is>
          <t>Активна</t>
        </is>
      </c>
      <c r="L3" s="8" t="n">
        <v>0.3</v>
      </c>
      <c r="M3" s="6" t="n">
        <v>280</v>
      </c>
      <c r="N3" s="8">
        <f>(M3/I3)*100</f>
        <v/>
      </c>
    </row>
    <row r="4">
      <c r="A4" s="2" t="n">
        <v>3</v>
      </c>
      <c r="B4" s="3" t="inlineStr">
        <is>
          <t>USDC/DAI</t>
        </is>
      </c>
      <c r="C4" s="3" t="inlineStr">
        <is>
          <t>USDC</t>
        </is>
      </c>
      <c r="D4" s="3" t="inlineStr">
        <is>
          <t>DAI</t>
        </is>
      </c>
      <c r="E4" s="4" t="n">
        <v>10000</v>
      </c>
      <c r="F4" s="4" t="n">
        <v>10000</v>
      </c>
      <c r="G4" s="5" t="n">
        <v>1</v>
      </c>
      <c r="H4" s="5" t="n">
        <v>1</v>
      </c>
      <c r="I4" s="6">
        <f>E4*G4+F4*H4</f>
        <v/>
      </c>
      <c r="J4" s="7" t="inlineStr">
        <is>
          <t>2026-01-05</t>
        </is>
      </c>
      <c r="K4" s="2" t="inlineStr">
        <is>
          <t>Активна</t>
        </is>
      </c>
      <c r="L4" s="8" t="n">
        <v>0.01</v>
      </c>
      <c r="M4" s="6" t="n">
        <v>45</v>
      </c>
      <c r="N4" s="8">
        <f>(M4/I4)*100</f>
        <v/>
      </c>
    </row>
    <row r="5">
      <c r="A5" s="2" t="n">
        <v>4</v>
      </c>
      <c r="B5" s="3" t="inlineStr">
        <is>
          <t>ETH/USDT</t>
        </is>
      </c>
      <c r="C5" s="3" t="inlineStr">
        <is>
          <t>ETH</t>
        </is>
      </c>
      <c r="D5" s="3" t="inlineStr">
        <is>
          <t>USDT</t>
        </is>
      </c>
      <c r="E5" s="4" t="n">
        <v>1.5</v>
      </c>
      <c r="F5" s="4" t="n">
        <v>3000</v>
      </c>
      <c r="G5" s="5" t="n">
        <v>2000</v>
      </c>
      <c r="H5" s="5" t="n">
        <v>1</v>
      </c>
      <c r="I5" s="6">
        <f>E5*G5+F5*H5</f>
        <v/>
      </c>
      <c r="J5" s="7" t="inlineStr">
        <is>
          <t>2025-12-06</t>
        </is>
      </c>
      <c r="K5" s="2" t="inlineStr">
        <is>
          <t>Закрыта</t>
        </is>
      </c>
      <c r="L5" s="8" t="n">
        <v>0.3</v>
      </c>
      <c r="M5" s="6" t="n">
        <v>95</v>
      </c>
      <c r="N5" s="8">
        <f>(M5/I5)*100</f>
        <v/>
      </c>
    </row>
    <row r="6">
      <c r="A6" s="2" t="n">
        <v>5</v>
      </c>
      <c r="B6" s="3" t="inlineStr">
        <is>
          <t>UNI/ETH</t>
        </is>
      </c>
      <c r="C6" s="3" t="inlineStr">
        <is>
          <t>UNI</t>
        </is>
      </c>
      <c r="D6" s="3" t="inlineStr">
        <is>
          <t>ETH</t>
        </is>
      </c>
      <c r="E6" s="4" t="n">
        <v>500</v>
      </c>
      <c r="F6" s="4" t="n">
        <v>1</v>
      </c>
      <c r="G6" s="5" t="n">
        <v>8</v>
      </c>
      <c r="H6" s="5" t="n">
        <v>2000</v>
      </c>
      <c r="I6" s="6">
        <f>E6*G6+F6*H6</f>
        <v/>
      </c>
      <c r="J6" s="7" t="inlineStr">
        <is>
          <t>2025-12-31</t>
        </is>
      </c>
      <c r="K6" s="2" t="inlineStr">
        <is>
          <t>Активна</t>
        </is>
      </c>
      <c r="L6" s="8" t="n">
        <v>0.3</v>
      </c>
      <c r="M6" s="6" t="n">
        <v>72</v>
      </c>
      <c r="N6" s="8">
        <f>(M6/I6)*100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2" customWidth="1" min="3" max="3"/>
    <col width="12" customWidth="1" min="4" max="4"/>
  </cols>
  <sheetData>
    <row r="1">
      <c r="A1" s="9" t="inlineStr">
        <is>
          <t>Дата</t>
        </is>
      </c>
      <c r="B1" s="9" t="inlineStr">
        <is>
          <t>Накопленные комиссии (USD)</t>
        </is>
      </c>
      <c r="C1" s="9" t="inlineStr">
        <is>
          <t>Общая стоимость портфеля (USD)</t>
        </is>
      </c>
      <c r="D1" s="9" t="inlineStr">
        <is>
          <t>ROI (%)</t>
        </is>
      </c>
    </row>
    <row r="2">
      <c r="A2" t="inlineStr">
        <is>
          <t>2025-12-21</t>
        </is>
      </c>
      <c r="B2" s="10" t="n">
        <v>50</v>
      </c>
      <c r="C2" s="10" t="n">
        <v>20000</v>
      </c>
      <c r="D2" s="11">
        <f>(B2/C2)*100</f>
        <v/>
      </c>
    </row>
    <row r="3">
      <c r="A3" t="inlineStr">
        <is>
          <t>2025-12-22</t>
        </is>
      </c>
      <c r="B3" s="10" t="n">
        <v>75</v>
      </c>
      <c r="C3" s="10" t="n">
        <v>19850</v>
      </c>
      <c r="D3" s="11">
        <f>(B3/C3)*100</f>
        <v/>
      </c>
    </row>
    <row r="4">
      <c r="A4" t="inlineStr">
        <is>
          <t>2025-12-23</t>
        </is>
      </c>
      <c r="B4" s="10" t="n">
        <v>100</v>
      </c>
      <c r="C4" s="10" t="n">
        <v>19700</v>
      </c>
      <c r="D4" s="11">
        <f>(B4/C4)*100</f>
        <v/>
      </c>
    </row>
    <row r="5">
      <c r="A5" t="inlineStr">
        <is>
          <t>2025-12-24</t>
        </is>
      </c>
      <c r="B5" s="10" t="n">
        <v>125</v>
      </c>
      <c r="C5" s="10" t="n">
        <v>19550</v>
      </c>
      <c r="D5" s="11">
        <f>(B5/C5)*100</f>
        <v/>
      </c>
    </row>
    <row r="6">
      <c r="A6" t="inlineStr">
        <is>
          <t>2025-12-25</t>
        </is>
      </c>
      <c r="B6" s="10" t="n">
        <v>150</v>
      </c>
      <c r="C6" s="10" t="n">
        <v>19400</v>
      </c>
      <c r="D6" s="11">
        <f>(B6/C6)*100</f>
        <v/>
      </c>
    </row>
    <row r="7">
      <c r="A7" t="inlineStr">
        <is>
          <t>2025-12-26</t>
        </is>
      </c>
      <c r="B7" s="10" t="n">
        <v>175</v>
      </c>
      <c r="C7" s="10" t="n">
        <v>20250</v>
      </c>
      <c r="D7" s="11">
        <f>(B7/C7)*100</f>
        <v/>
      </c>
    </row>
    <row r="8">
      <c r="A8" t="inlineStr">
        <is>
          <t>2025-12-27</t>
        </is>
      </c>
      <c r="B8" s="10" t="n">
        <v>200</v>
      </c>
      <c r="C8" s="10" t="n">
        <v>20100</v>
      </c>
      <c r="D8" s="11">
        <f>(B8/C8)*100</f>
        <v/>
      </c>
    </row>
    <row r="9">
      <c r="A9" t="inlineStr">
        <is>
          <t>2025-12-28</t>
        </is>
      </c>
      <c r="B9" s="10" t="n">
        <v>155</v>
      </c>
      <c r="C9" s="10" t="n">
        <v>19950</v>
      </c>
      <c r="D9" s="11">
        <f>(B9/C9)*100</f>
        <v/>
      </c>
    </row>
    <row r="10">
      <c r="A10" t="inlineStr">
        <is>
          <t>2025-12-29</t>
        </is>
      </c>
      <c r="B10" s="10" t="n">
        <v>180</v>
      </c>
      <c r="C10" s="10" t="n">
        <v>19800</v>
      </c>
      <c r="D10" s="11">
        <f>(B10/C10)*100</f>
        <v/>
      </c>
    </row>
    <row r="11">
      <c r="A11" t="inlineStr">
        <is>
          <t>2025-12-30</t>
        </is>
      </c>
      <c r="B11" s="10" t="n">
        <v>205</v>
      </c>
      <c r="C11" s="10" t="n">
        <v>19650</v>
      </c>
      <c r="D11" s="11">
        <f>(B11/C11)*100</f>
        <v/>
      </c>
    </row>
    <row r="12">
      <c r="A12" t="inlineStr">
        <is>
          <t>2025-12-31</t>
        </is>
      </c>
      <c r="B12" s="10" t="n">
        <v>230</v>
      </c>
      <c r="C12" s="10" t="n">
        <v>20500</v>
      </c>
      <c r="D12" s="11">
        <f>(B12/C12)*100</f>
        <v/>
      </c>
    </row>
    <row r="13">
      <c r="A13" t="inlineStr">
        <is>
          <t>2026-01-01</t>
        </is>
      </c>
      <c r="B13" s="10" t="n">
        <v>255</v>
      </c>
      <c r="C13" s="10" t="n">
        <v>20350</v>
      </c>
      <c r="D13" s="11">
        <f>(B13/C13)*100</f>
        <v/>
      </c>
    </row>
    <row r="14">
      <c r="A14" t="inlineStr">
        <is>
          <t>2026-01-02</t>
        </is>
      </c>
      <c r="B14" s="10" t="n">
        <v>280</v>
      </c>
      <c r="C14" s="10" t="n">
        <v>20200</v>
      </c>
      <c r="D14" s="11">
        <f>(B14/C14)*100</f>
        <v/>
      </c>
    </row>
    <row r="15">
      <c r="A15" t="inlineStr">
        <is>
          <t>2026-01-03</t>
        </is>
      </c>
      <c r="B15" s="10" t="n">
        <v>305</v>
      </c>
      <c r="C15" s="10" t="n">
        <v>20050</v>
      </c>
      <c r="D15" s="11">
        <f>(B15/C15)*100</f>
        <v/>
      </c>
    </row>
    <row r="16">
      <c r="A16" t="inlineStr">
        <is>
          <t>2026-01-04</t>
        </is>
      </c>
      <c r="B16" s="10" t="n">
        <v>260</v>
      </c>
      <c r="C16" s="10" t="n">
        <v>19900</v>
      </c>
      <c r="D16" s="11">
        <f>(B16/C16)*100</f>
        <v/>
      </c>
    </row>
    <row r="17">
      <c r="A17" t="inlineStr">
        <is>
          <t>2026-01-05</t>
        </is>
      </c>
      <c r="B17" s="10" t="n">
        <v>285</v>
      </c>
      <c r="C17" s="10" t="n">
        <v>20750</v>
      </c>
      <c r="D17" s="11">
        <f>(B17/C17)*100</f>
        <v/>
      </c>
    </row>
    <row r="18">
      <c r="A18" t="inlineStr">
        <is>
          <t>2026-01-06</t>
        </is>
      </c>
      <c r="B18" s="10" t="n">
        <v>310</v>
      </c>
      <c r="C18" s="10" t="n">
        <v>20600</v>
      </c>
      <c r="D18" s="11">
        <f>(B18/C18)*100</f>
        <v/>
      </c>
    </row>
    <row r="19">
      <c r="A19" t="inlineStr">
        <is>
          <t>2026-01-07</t>
        </is>
      </c>
      <c r="B19" s="10" t="n">
        <v>335</v>
      </c>
      <c r="C19" s="10" t="n">
        <v>20450</v>
      </c>
      <c r="D19" s="11">
        <f>(B19/C19)*100</f>
        <v/>
      </c>
    </row>
    <row r="20">
      <c r="A20" t="inlineStr">
        <is>
          <t>2026-01-08</t>
        </is>
      </c>
      <c r="B20" s="10" t="n">
        <v>360</v>
      </c>
      <c r="C20" s="10" t="n">
        <v>20300</v>
      </c>
      <c r="D20" s="11">
        <f>(B20/C20)*100</f>
        <v/>
      </c>
    </row>
    <row r="21">
      <c r="A21" t="inlineStr">
        <is>
          <t>2026-01-09</t>
        </is>
      </c>
      <c r="B21" s="10" t="n">
        <v>385</v>
      </c>
      <c r="C21" s="10" t="n">
        <v>20150</v>
      </c>
      <c r="D21" s="11">
        <f>(B21/C21)*100</f>
        <v/>
      </c>
    </row>
    <row r="22">
      <c r="A22" t="inlineStr">
        <is>
          <t>2026-01-10</t>
        </is>
      </c>
      <c r="B22" s="10" t="n">
        <v>410</v>
      </c>
      <c r="C22" s="10" t="n">
        <v>21000</v>
      </c>
      <c r="D22" s="11">
        <f>(B22/C22)*100</f>
        <v/>
      </c>
    </row>
    <row r="23">
      <c r="A23" t="inlineStr">
        <is>
          <t>2026-01-11</t>
        </is>
      </c>
      <c r="B23" s="10" t="n">
        <v>365</v>
      </c>
      <c r="C23" s="10" t="n">
        <v>20850</v>
      </c>
      <c r="D23" s="11">
        <f>(B23/C23)*100</f>
        <v/>
      </c>
    </row>
    <row r="24">
      <c r="A24" t="inlineStr">
        <is>
          <t>2026-01-12</t>
        </is>
      </c>
      <c r="B24" s="10" t="n">
        <v>390</v>
      </c>
      <c r="C24" s="10" t="n">
        <v>20700</v>
      </c>
      <c r="D24" s="11">
        <f>(B24/C24)*100</f>
        <v/>
      </c>
    </row>
    <row r="25">
      <c r="A25" t="inlineStr">
        <is>
          <t>2026-01-13</t>
        </is>
      </c>
      <c r="B25" s="10" t="n">
        <v>415</v>
      </c>
      <c r="C25" s="10" t="n">
        <v>20550</v>
      </c>
      <c r="D25" s="11">
        <f>(B25/C25)*100</f>
        <v/>
      </c>
    </row>
    <row r="26">
      <c r="A26" t="inlineStr">
        <is>
          <t>2026-01-14</t>
        </is>
      </c>
      <c r="B26" s="10" t="n">
        <v>440</v>
      </c>
      <c r="C26" s="10" t="n">
        <v>20400</v>
      </c>
      <c r="D26" s="11">
        <f>(B26/C26)*100</f>
        <v/>
      </c>
    </row>
    <row r="27">
      <c r="A27" t="inlineStr">
        <is>
          <t>2026-01-15</t>
        </is>
      </c>
      <c r="B27" s="10" t="n">
        <v>465</v>
      </c>
      <c r="C27" s="10" t="n">
        <v>21250</v>
      </c>
      <c r="D27" s="11">
        <f>(B27/C27)*100</f>
        <v/>
      </c>
    </row>
    <row r="28">
      <c r="A28" t="inlineStr">
        <is>
          <t>2026-01-16</t>
        </is>
      </c>
      <c r="B28" s="10" t="n">
        <v>490</v>
      </c>
      <c r="C28" s="10" t="n">
        <v>21100</v>
      </c>
      <c r="D28" s="11">
        <f>(B28/C28)*100</f>
        <v/>
      </c>
    </row>
    <row r="29">
      <c r="A29" t="inlineStr">
        <is>
          <t>2026-01-17</t>
        </is>
      </c>
      <c r="B29" s="10" t="n">
        <v>515</v>
      </c>
      <c r="C29" s="10" t="n">
        <v>20950</v>
      </c>
      <c r="D29" s="11">
        <f>(B29/C29)*100</f>
        <v/>
      </c>
    </row>
    <row r="30">
      <c r="A30" t="inlineStr">
        <is>
          <t>2026-01-18</t>
        </is>
      </c>
      <c r="B30" s="10" t="n">
        <v>470</v>
      </c>
      <c r="C30" s="10" t="n">
        <v>20800</v>
      </c>
      <c r="D30" s="11">
        <f>(B30/C30)*100</f>
        <v/>
      </c>
    </row>
    <row r="31">
      <c r="A31" t="inlineStr">
        <is>
          <t>2026-01-19</t>
        </is>
      </c>
      <c r="B31" s="10" t="n">
        <v>495</v>
      </c>
      <c r="C31" s="10" t="n">
        <v>20650</v>
      </c>
      <c r="D31" s="11">
        <f>(B31/C31)*100</f>
        <v/>
      </c>
    </row>
    <row r="32">
      <c r="A32" t="inlineStr">
        <is>
          <t>2026-01-20</t>
        </is>
      </c>
      <c r="B32" s="10" t="n">
        <v>520</v>
      </c>
      <c r="C32" s="10" t="n">
        <v>21500</v>
      </c>
      <c r="D32" s="11">
        <f>(B32/C32)*100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2" t="inlineStr">
        <is>
          <t>📊 Dashboard учёта пулов ликвидности Uniswap</t>
        </is>
      </c>
    </row>
    <row r="3" ht="25" customHeight="1">
      <c r="A3" s="13" t="inlineStr">
        <is>
          <t>Общая стоимость всех позиций</t>
        </is>
      </c>
      <c r="B3" s="14" t="n"/>
      <c r="C3" s="14" t="n"/>
      <c r="D3" s="14" t="n"/>
      <c r="E3" s="15">
        <f>SUM(Пулы!I:I)</f>
        <v/>
      </c>
      <c r="F3" s="14" t="n"/>
      <c r="G3" s="14" t="n"/>
      <c r="H3" s="14" t="n"/>
    </row>
    <row r="5" ht="25" customHeight="1">
      <c r="A5" s="13" t="inlineStr">
        <is>
          <t>Всего заработано комиссий</t>
        </is>
      </c>
      <c r="B5" s="14" t="n"/>
      <c r="C5" s="14" t="n"/>
      <c r="D5" s="14" t="n"/>
      <c r="E5" s="15">
        <f>SUM(Пулы!M:M)</f>
        <v/>
      </c>
      <c r="F5" s="14" t="n"/>
      <c r="G5" s="14" t="n"/>
      <c r="H5" s="14" t="n"/>
    </row>
    <row r="7" ht="25" customHeight="1">
      <c r="A7" s="13" t="inlineStr">
        <is>
          <t>Средний ROI</t>
        </is>
      </c>
      <c r="B7" s="14" t="n"/>
      <c r="C7" s="14" t="n"/>
      <c r="D7" s="14" t="n"/>
      <c r="E7" s="16">
        <f>AVERAGE(Пулы!N:N)</f>
        <v/>
      </c>
      <c r="F7" s="14" t="n"/>
      <c r="G7" s="14" t="n"/>
      <c r="H7" s="14" t="n"/>
    </row>
    <row r="9" ht="25" customHeight="1">
      <c r="A9" s="13" t="inlineStr">
        <is>
          <t>Количество активных позиций</t>
        </is>
      </c>
      <c r="B9" s="14" t="n"/>
      <c r="C9" s="14" t="n"/>
      <c r="D9" s="14" t="n"/>
      <c r="E9" s="17">
        <f>COUNTIF(Пулы!K:K,"Активна")</f>
        <v/>
      </c>
      <c r="F9" s="14" t="n"/>
      <c r="G9" s="14" t="n"/>
      <c r="H9" s="14" t="n"/>
    </row>
    <row r="12" ht="25" customHeight="1">
      <c r="A12" s="18" t="inlineStr">
        <is>
          <t>📈 График доходности по времени</t>
        </is>
      </c>
    </row>
    <row r="33" ht="25" customHeight="1">
      <c r="A33" s="19" t="inlineStr">
        <is>
          <t>🥧 Распределение стоимости по торговым парам</t>
        </is>
      </c>
    </row>
  </sheetData>
  <mergeCells count="11">
    <mergeCell ref="A12:H12"/>
    <mergeCell ref="A5:D5"/>
    <mergeCell ref="A9:D9"/>
    <mergeCell ref="E9:H9"/>
    <mergeCell ref="E3:H3"/>
    <mergeCell ref="A3:D3"/>
    <mergeCell ref="A7:D7"/>
    <mergeCell ref="A33:H33"/>
    <mergeCell ref="E7:H7"/>
    <mergeCell ref="A1:H1"/>
    <mergeCell ref="E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2026-01-20T09:41:00Z</dcterms:created>
  <dcterms:modified xsi:type="dcterms:W3CDTF">2026-01-20T09:41:00Z</dcterms:modified>
</cp:coreProperties>
</file>